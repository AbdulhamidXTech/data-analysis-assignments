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BBF2A42D-D85D-449D-9E98-EA8BC85F1D5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</sheets>
  <definedNames>
    <definedName name="TaxesOwed">Sheet1!$F$2:$F$71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80" i="1" l="1"/>
  <c r="D79" i="1"/>
  <c r="D77" i="1"/>
  <c r="D76" i="1"/>
  <c r="D75" i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6" i="1" l="1"/>
  <c r="E77" i="1"/>
  <c r="E75" i="1"/>
  <c r="E74" i="1"/>
  <c r="E73" i="1"/>
  <c r="E72" i="1"/>
  <c r="F2" i="1"/>
  <c r="F77" i="1" s="1"/>
  <c r="F76" i="1" l="1"/>
  <c r="F75" i="1"/>
  <c r="F74" i="1"/>
  <c r="F73" i="1"/>
  <c r="F72" i="1"/>
</calcChain>
</file>

<file path=xl/sharedStrings.xml><?xml version="1.0" encoding="utf-8"?>
<sst xmlns="http://schemas.openxmlformats.org/spreadsheetml/2006/main" count="85" uniqueCount="84">
  <si>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</si>
  <si>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</si>
  <si>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</si>
  <si>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</si>
  <si>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</si>
  <si>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</si>
  <si>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</si>
  <si>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</si>
  <si>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</si>
  <si>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</si>
  <si>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</si>
  <si>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</si>
  <si>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</si>
  <si>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</si>
  <si>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</si>
  <si>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</si>
  <si>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</si>
  <si>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</si>
  <si>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</si>
  <si>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</si>
  <si>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</si>
  <si>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</si>
  <si>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</si>
  <si>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</si>
  <si>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</si>
  <si>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</si>
  <si>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</si>
  <si>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</si>
  <si>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</si>
  <si>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</si>
  <si>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</si>
  <si>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</si>
  <si>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</si>
  <si>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</si>
  <si>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</si>
  <si>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</si>
  <si>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</si>
  <si>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</si>
  <si>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</si>
  <si>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</si>
  <si>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</si>
  <si>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</si>
  <si>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</si>
  <si>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</si>
  <si>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</si>
  <si>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</si>
  <si>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</si>
  <si>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</si>
  <si>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</si>
  <si>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</si>
  <si>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</si>
  <si>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</si>
  <si>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</si>
  <si>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</si>
  <si>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</si>
  <si>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</si>
  <si>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</si>
  <si>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</si>
  <si>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</si>
  <si>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</si>
  <si>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</si>
  <si>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</si>
  <si>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</si>
  <si>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</si>
  <si>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</si>
  <si>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</si>
  <si>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</si>
  <si>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</si>
  <si>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</si>
  <si>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</si>
  <si>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</si>
  <si>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</si>
  <si>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</si>
  <si>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</si>
  <si>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</si>
  <si>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</si>
  <si>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</si>
  <si>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</si>
  <si>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</si>
  <si>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</si>
  <si>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</si>
  <si>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SUM</t>
  </si>
  <si>
    <t>Hourly wage Average:</t>
  </si>
  <si>
    <t>Taxable Income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</si>
</sst>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0" xfId="0" applyFont="1"/>
    <xf numFmtId="164" fontId="1" fillId="2" borderId="0" xfId="0" applyNumberFormat="1" applyFont="1" applyFill="1" applyAlignment="1">
      <alignment horizontal="right"/>
    </xf>
    <xf numFmtId="164" fontId="0" fillId="0" borderId="0" xfId="0" applyNumberFormat="1" applyFont="1" applyAlignment="1"/>
    <xf numFmtId="44" fontId="0" fillId="0" borderId="0" xfId="0" applyNumberFormat="1" applyFont="1" applyAlignme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61-45DF-8F88-0F3DC4CE84A4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61-45DF-8F88-0F3DC4CE84A4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D61-45DF-8F88-0F3DC4CE84A4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D61-45DF-8F88-0F3DC4CE84A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61-45DF-8F88-0F3DC4CE8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A-463E-BFA7-03EF40A2614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AA-463E-BFA7-03EF40A2614C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AA-463E-BFA7-03EF40A2614C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AA-463E-BFA7-03EF40A26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514350</xdr:colOff>
      <xdr:row>12</xdr:row>
      <xdr:rowOff>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8</xdr:col>
      <xdr:colOff>476250</xdr:colOff>
      <xdr:row>26</xdr:row>
      <xdr:rowOff>57150</xdr:rowOff>
    </xdr:from>
    <xdr:to>
      <xdr:col>14</xdr:col>
      <xdr:colOff>85725</xdr:colOff>
      <xdr:row>41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5D6AA-1B7B-5242-FD56-83E9D794C5B6}"/>
            </a:ext>
            <a:ext uri="{147F2762-F138-4A5C-976F-8EAC2B608ADB}">
              <a16:predDERef xmlns:a16="http://schemas.microsoft.com/office/drawing/2014/main" pre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14D59-580F-4C90-967A-AE4092FAD4CD}" name="Table1" displayName="Table1" ref="A1:F77" totalsRowShown="0" dataDxfId="5">
  <autoFilter ref="A1:F77" xr:uid="{99114D59-580F-4C90-967A-AE4092FAD4CD}"/>
  <tableColumns count="6">
    <tableColumn id="1" xr3:uid="{1055245D-A1F9-41F4-A0C0-B089B70631EB}" name="Employee ID"/>
    <tableColumn id="2" xr3:uid="{6E66D61A-F97F-4EC2-92F5-9162325BB03E}" name="Name" dataDxfId="4"/>
    <tableColumn id="3" xr3:uid="{B5ACC756-DC83-484F-982C-E6CB89039C13}" name="Hourly Wage" dataDxfId="3"/>
    <tableColumn id="4" xr3:uid="{BCC765BE-8908-4DBB-A6B5-088346F8CF25}" name="Hours Worked" dataDxfId="2"/>
    <tableColumn id="5" xr3:uid="{139F9E4B-231F-43E7-AD49-23244FF7CA15}" name="Taxable Income" dataDxfId="1"/>
    <tableColumn id="6" xr3:uid="{2D669D71-7A61-4D94-8820-255C71D2A860}" name="Taxes to Be Pa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71" workbookViewId="0">
      <selection activeCell="H6" sqref="H6"/>
    </sheetView>
  </sheetViews>
  <sheetFormatPr defaultColWidth="14.42578125" defaultRowHeight="15" customHeight="1"/>
  <cols>
    <col min="1" max="1" width="14.28515625" bestFit="1" customWidth="1"/>
    <col min="2" max="2" width="9.42578125" style="6" bestFit="1" customWidth="1"/>
    <col min="3" max="3" width="21.140625" style="7" bestFit="1" customWidth="1"/>
    <col min="4" max="4" width="16" bestFit="1" customWidth="1"/>
    <col min="5" max="5" width="18.140625" style="8" bestFit="1" customWidth="1"/>
    <col min="6" max="6" width="18.7109375" style="8" bestFit="1" customWidth="1"/>
    <col min="7" max="7" width="9.140625" bestFit="1" customWidth="1"/>
    <col min="8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>
        <v>1</v>
      </c>
      <c r="B2" s="6" t="s">
        <v>7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>
      <c r="A3" s="5">
        <v>2</v>
      </c>
      <c r="B3" s="6" t="s">
        <v>8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>
      <c r="A4" s="5">
        <v>3</v>
      </c>
      <c r="B4" s="6" t="s">
        <v>9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>
      <c r="A5" s="5">
        <v>4</v>
      </c>
      <c r="B5" s="6" t="s">
        <v>10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</row>
    <row r="6" spans="1:26" ht="14.25" customHeight="1">
      <c r="A6" s="5">
        <v>5</v>
      </c>
      <c r="B6" s="6" t="s">
        <v>11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>
      <c r="A7" s="5">
        <v>6</v>
      </c>
      <c r="B7" s="6" t="s">
        <v>12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</row>
    <row r="8" spans="1:26" ht="14.25" customHeight="1">
      <c r="A8" s="5">
        <v>7</v>
      </c>
      <c r="B8" s="6" t="s">
        <v>13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</row>
    <row r="9" spans="1:26" ht="14.25" customHeight="1">
      <c r="A9" s="5">
        <v>8</v>
      </c>
      <c r="B9" s="6" t="s">
        <v>14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</row>
    <row r="10" spans="1:26" ht="14.25" customHeight="1">
      <c r="A10" s="5">
        <v>9</v>
      </c>
      <c r="B10" s="6" t="s">
        <v>15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J10" s="7"/>
      <c r="K10" s="10"/>
      <c r="L10" s="8"/>
      <c r="M10" s="8"/>
    </row>
    <row r="11" spans="1:26" ht="14.25" customHeight="1">
      <c r="A11" s="5">
        <v>10</v>
      </c>
      <c r="B11" s="6" t="s">
        <v>16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>
      <c r="A12" s="5">
        <v>11</v>
      </c>
      <c r="B12" s="6" t="s">
        <v>17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>
      <c r="A13" s="5">
        <v>12</v>
      </c>
      <c r="B13" s="6" t="s">
        <v>18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>
      <c r="A14" s="5">
        <v>13</v>
      </c>
      <c r="B14" s="6" t="s">
        <v>19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>
      <c r="A15" s="5">
        <v>14</v>
      </c>
      <c r="B15" s="6" t="s">
        <v>20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>
      <c r="A16" s="5">
        <v>15</v>
      </c>
      <c r="B16" s="6" t="s">
        <v>21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>
      <c r="A17" s="5">
        <v>16</v>
      </c>
      <c r="B17" s="6" t="s">
        <v>22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>
      <c r="A18" s="5">
        <v>17</v>
      </c>
      <c r="B18" s="6" t="s">
        <v>23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>
      <c r="A19" s="5">
        <v>18</v>
      </c>
      <c r="B19" s="6" t="s">
        <v>24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>
      <c r="A20" s="5">
        <v>19</v>
      </c>
      <c r="B20" s="6" t="s">
        <v>25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>
      <c r="A21" s="5">
        <v>20</v>
      </c>
      <c r="B21" s="6" t="s">
        <v>26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>
      <c r="A22" s="5">
        <v>21</v>
      </c>
      <c r="B22" s="6" t="s">
        <v>27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>
      <c r="A23" s="5">
        <v>22</v>
      </c>
      <c r="B23" s="6" t="s">
        <v>28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>
      <c r="A24" s="5">
        <v>23</v>
      </c>
      <c r="B24" s="6" t="s">
        <v>29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>
      <c r="A25" s="5">
        <v>24</v>
      </c>
      <c r="B25" s="6" t="s">
        <v>30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>
      <c r="A26" s="5">
        <v>25</v>
      </c>
      <c r="B26" s="6" t="s">
        <v>31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>
      <c r="A27" s="5">
        <v>26</v>
      </c>
      <c r="B27" s="6" t="s">
        <v>28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>
      <c r="A28" s="5">
        <v>27</v>
      </c>
      <c r="B28" s="6" t="s">
        <v>32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>
      <c r="A29" s="5">
        <v>28</v>
      </c>
      <c r="B29" s="6" t="s">
        <v>33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>
      <c r="A30" s="5">
        <v>29</v>
      </c>
      <c r="B30" s="6" t="s">
        <v>34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>
      <c r="A31" s="5">
        <v>30</v>
      </c>
      <c r="B31" s="6" t="s">
        <v>35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>
      <c r="A32" s="5">
        <v>31</v>
      </c>
      <c r="B32" s="6" t="s">
        <v>36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>
      <c r="A33" s="5">
        <v>32</v>
      </c>
      <c r="B33" s="6" t="s">
        <v>37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>
      <c r="A34" s="5">
        <v>33</v>
      </c>
      <c r="B34" s="6" t="s">
        <v>38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>
      <c r="A35" s="5">
        <v>34</v>
      </c>
      <c r="B35" s="6" t="s">
        <v>39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>
      <c r="A36" s="5">
        <v>35</v>
      </c>
      <c r="B36" s="6" t="s">
        <v>40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>
      <c r="A37" s="5">
        <v>36</v>
      </c>
      <c r="B37" s="6" t="s">
        <v>41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>
      <c r="A38" s="5">
        <v>37</v>
      </c>
      <c r="B38" s="6" t="s">
        <v>42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>
      <c r="A39" s="5">
        <v>38</v>
      </c>
      <c r="B39" s="6" t="s">
        <v>43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>
      <c r="A40" s="5">
        <v>39</v>
      </c>
      <c r="B40" s="6" t="s">
        <v>44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>
      <c r="A41" s="5">
        <v>40</v>
      </c>
      <c r="B41" s="6" t="s">
        <v>45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>
      <c r="A42" s="5">
        <v>41</v>
      </c>
      <c r="B42" s="6" t="s">
        <v>46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>
      <c r="A43" s="5">
        <v>42</v>
      </c>
      <c r="B43" s="6" t="s">
        <v>47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>
      <c r="A44" s="5">
        <v>43</v>
      </c>
      <c r="B44" s="6" t="s">
        <v>48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>
      <c r="A45" s="5">
        <v>44</v>
      </c>
      <c r="B45" s="6" t="s">
        <v>49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>
      <c r="A46" s="5">
        <v>45</v>
      </c>
      <c r="B46" s="6" t="s">
        <v>50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>
      <c r="A47" s="5">
        <v>46</v>
      </c>
      <c r="B47" s="6" t="s">
        <v>51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>
      <c r="A48" s="5">
        <v>47</v>
      </c>
      <c r="B48" s="6" t="s">
        <v>52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>
      <c r="A49" s="5">
        <v>48</v>
      </c>
      <c r="B49" s="6" t="s">
        <v>53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>
      <c r="A50" s="5">
        <v>49</v>
      </c>
      <c r="B50" s="6" t="s">
        <v>54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>
      <c r="A51" s="5">
        <v>50</v>
      </c>
      <c r="B51" s="6" t="s">
        <v>55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>
      <c r="A52" s="5">
        <v>51</v>
      </c>
      <c r="B52" s="6" t="s">
        <v>56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>
      <c r="A53" s="5">
        <v>52</v>
      </c>
      <c r="B53" s="6" t="s">
        <v>57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>
      <c r="A54" s="5">
        <v>53</v>
      </c>
      <c r="B54" s="6" t="s">
        <v>58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>
      <c r="A55" s="5">
        <v>54</v>
      </c>
      <c r="B55" s="6" t="s">
        <v>59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>
      <c r="A56" s="5">
        <v>55</v>
      </c>
      <c r="B56" s="6" t="s">
        <v>60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>
      <c r="A57" s="5">
        <v>56</v>
      </c>
      <c r="B57" s="6" t="s">
        <v>61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>
      <c r="A58" s="5">
        <v>57</v>
      </c>
      <c r="B58" s="6" t="s">
        <v>62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>
      <c r="A59" s="5">
        <v>58</v>
      </c>
      <c r="B59" s="6" t="s">
        <v>63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>
      <c r="A60" s="5">
        <v>59</v>
      </c>
      <c r="B60" s="6" t="s">
        <v>64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>
      <c r="A61" s="5">
        <v>60</v>
      </c>
      <c r="B61" s="6" t="s">
        <v>65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>
      <c r="A62" s="5">
        <v>61</v>
      </c>
      <c r="B62" s="6" t="s">
        <v>66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>
      <c r="A63" s="5">
        <v>62</v>
      </c>
      <c r="B63" s="6" t="s">
        <v>67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>
      <c r="A64" s="5">
        <v>63</v>
      </c>
      <c r="B64" s="6" t="s">
        <v>68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>
      <c r="A65" s="5">
        <v>64</v>
      </c>
      <c r="B65" s="6" t="s">
        <v>69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>
      <c r="A66" s="5">
        <v>65</v>
      </c>
      <c r="B66" s="6" t="s">
        <v>70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>
      <c r="A67" s="5">
        <v>66</v>
      </c>
      <c r="B67" s="6" t="s">
        <v>71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>
      <c r="A68" s="5">
        <v>67</v>
      </c>
      <c r="B68" s="6" t="s">
        <v>72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>
      <c r="A69" s="5">
        <v>68</v>
      </c>
      <c r="B69" s="6" t="s">
        <v>73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>
      <c r="A70" s="5">
        <v>69</v>
      </c>
      <c r="B70" s="6" t="s">
        <v>74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>
      <c r="A71" s="5">
        <v>70</v>
      </c>
      <c r="B71" s="6" t="s">
        <v>75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>
      <c r="C72" s="9" t="s">
        <v>76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>
      <c r="C73" s="9" t="s">
        <v>77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>
      <c r="C74" s="9" t="s">
        <v>78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>
      <c r="C75" s="9" t="s">
        <v>79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>
      <c r="C76" s="9" t="s">
        <v>80</v>
      </c>
      <c r="D76" s="5">
        <f t="shared" ref="D76:F76" si="6">COUNT(D2:D71)</f>
        <v>70</v>
      </c>
      <c r="E76" s="8">
        <f>COUNT(E2:E71)</f>
        <v>70</v>
      </c>
      <c r="F76" s="8">
        <f t="shared" si="6"/>
        <v>70</v>
      </c>
    </row>
    <row r="77" spans="1:6" ht="14.25" customHeight="1">
      <c r="C77" s="9" t="s">
        <v>81</v>
      </c>
      <c r="D77">
        <f>SUM(D1:D70)</f>
        <v>9192</v>
      </c>
      <c r="E77">
        <f t="shared" ref="E77:F77" si="7">SUM(E1:E70)</f>
        <v>140694.5</v>
      </c>
      <c r="F77">
        <f t="shared" si="7"/>
        <v>9848.6150000000034</v>
      </c>
    </row>
    <row r="78" spans="1:6" ht="14.25" customHeight="1"/>
    <row r="79" spans="1:6" ht="14.25" customHeight="1">
      <c r="C79" s="11" t="s">
        <v>82</v>
      </c>
      <c r="D79" s="12">
        <f>AVERAGE(C1:C71)</f>
        <v>15.15</v>
      </c>
    </row>
    <row r="80" spans="1:6" ht="14.25" customHeight="1">
      <c r="C80" s="11" t="s">
        <v>83</v>
      </c>
      <c r="D80" s="13">
        <f>SUM(E1:E70)</f>
        <v>140694.5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35F0-1FFE-4C6E-91CE-B0CF14F0E4E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7483-9CE9-49EA-B846-ED917950C17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2022-07-03T02:12:21Z</dcterms:created>
  <dcterms:modified xsi:type="dcterms:W3CDTF">2026-02-22T22:27:30Z</dcterms:modified>
  <cp:category/>
  <cp:contentStatus/>
</cp:coreProperties>
</file>